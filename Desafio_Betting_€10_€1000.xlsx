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Tracker" sheetId="1" state="visible" r:id="rId1"/>
    <sheet name="📈 Dashboard" sheetId="2" state="visible" r:id="rId2"/>
    <sheet name="🗺️ Estratég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.00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color rgb="00FFFFFF"/>
      <sz val="11"/>
    </font>
    <font>
      <b val="1"/>
      <color rgb="007D6608"/>
      <sz val="10"/>
    </font>
    <font>
      <b val="1"/>
      <color rgb="001A5C38"/>
      <sz val="10"/>
    </font>
    <font>
      <b val="1"/>
      <color rgb="00FFFFFF"/>
      <sz val="14"/>
    </font>
    <font>
      <b val="1"/>
      <color rgb="00FFFFFF"/>
      <sz val="9"/>
    </font>
    <font>
      <b val="1"/>
      <color rgb="001A1A1A"/>
      <sz val="16"/>
    </font>
    <font>
      <b val="1"/>
      <color rgb="007D6608"/>
    </font>
    <font>
      <b val="1"/>
      <color rgb="001A5C38"/>
    </font>
  </fonts>
  <fills count="15">
    <fill>
      <patternFill/>
    </fill>
    <fill>
      <patternFill patternType="gray125"/>
    </fill>
    <fill>
      <patternFill patternType="solid">
        <fgColor rgb="001A5C38"/>
      </patternFill>
    </fill>
    <fill>
      <patternFill patternType="solid">
        <fgColor rgb="002C3E50"/>
      </patternFill>
    </fill>
    <fill>
      <patternFill patternType="solid">
        <fgColor rgb="00F2F3F4"/>
      </patternFill>
    </fill>
    <fill>
      <patternFill patternType="solid">
        <fgColor rgb="0027AE60"/>
      </patternFill>
    </fill>
    <fill>
      <patternFill patternType="solid">
        <fgColor rgb="00FFFFFF"/>
      </patternFill>
    </fill>
    <fill>
      <patternFill patternType="solid">
        <fgColor rgb="00F9E79F"/>
      </patternFill>
    </fill>
    <fill>
      <patternFill patternType="solid">
        <fgColor rgb="00D5F5E3"/>
      </patternFill>
    </fill>
    <fill>
      <patternFill patternType="solid">
        <fgColor rgb="002E86C1"/>
      </patternFill>
    </fill>
    <fill>
      <patternFill patternType="solid">
        <fgColor rgb="00E74C3C"/>
      </patternFill>
    </fill>
    <fill>
      <patternFill patternType="solid">
        <fgColor rgb="00D4AC0D"/>
      </patternFill>
    </fill>
    <fill>
      <patternFill patternType="solid">
        <fgColor rgb="00D6EAF8"/>
      </patternFill>
    </fill>
    <fill>
      <patternFill patternType="solid">
        <fgColor rgb="00FEF9E7"/>
      </patternFill>
    </fill>
    <fill>
      <patternFill patternType="solid">
        <fgColor rgb="00FDEDEC"/>
      </patternFill>
    </fill>
  </fills>
  <borders count="3">
    <border>
      <left/>
      <right/>
      <top/>
      <bottom/>
      <diagonal/>
    </border>
    <border>
      <left style="medium">
        <color rgb="002C3E50"/>
      </left>
      <right style="medium">
        <color rgb="002C3E50"/>
      </right>
      <top style="medium">
        <color rgb="002C3E50"/>
      </top>
      <bottom style="medium">
        <color rgb="002C3E5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164" fontId="0" fillId="4" borderId="2" applyAlignment="1" pivotButton="0" quotePrefix="0" xfId="0">
      <alignment horizontal="center" vertical="center" wrapText="1"/>
    </xf>
    <xf numFmtId="49" fontId="0" fillId="4" borderId="2" applyAlignment="1" pivotButton="0" quotePrefix="0" xfId="0">
      <alignment horizontal="center" vertical="center" wrapText="1"/>
    </xf>
    <xf numFmtId="165" fontId="0" fillId="4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164" fontId="0" fillId="6" borderId="2" applyAlignment="1" pivotButton="0" quotePrefix="0" xfId="0">
      <alignment horizontal="center" vertical="center" wrapText="1"/>
    </xf>
    <xf numFmtId="49" fontId="0" fillId="6" borderId="2" applyAlignment="1" pivotButton="0" quotePrefix="0" xfId="0">
      <alignment horizontal="center" vertical="center" wrapText="1"/>
    </xf>
    <xf numFmtId="165" fontId="0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164" fontId="4" fillId="7" borderId="2" applyAlignment="1" pivotButton="0" quotePrefix="0" xfId="0">
      <alignment horizontal="center" vertical="center" wrapText="1"/>
    </xf>
    <xf numFmtId="49" fontId="4" fillId="7" borderId="2" applyAlignment="1" pivotButton="0" quotePrefix="0" xfId="0">
      <alignment horizontal="center" vertical="center" wrapText="1"/>
    </xf>
    <xf numFmtId="165" fontId="4" fillId="7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164" fontId="5" fillId="8" borderId="2" applyAlignment="1" pivotButton="0" quotePrefix="0" xfId="0">
      <alignment horizontal="center" vertical="center" wrapText="1"/>
    </xf>
    <xf numFmtId="49" fontId="5" fillId="8" borderId="2" applyAlignment="1" pivotButton="0" quotePrefix="0" xfId="0">
      <alignment horizontal="center" vertical="center" wrapText="1"/>
    </xf>
    <xf numFmtId="165" fontId="5" fillId="8" borderId="2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8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164" fontId="8" fillId="4" borderId="2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center" vertical="center" wrapText="1"/>
    </xf>
    <xf numFmtId="165" fontId="8" fillId="4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0" fillId="12" borderId="2" applyAlignment="1" pivotButton="0" quotePrefix="0" xfId="0">
      <alignment horizontal="center" vertical="center" wrapText="1"/>
    </xf>
    <xf numFmtId="164" fontId="0" fillId="12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  <xf numFmtId="164" fontId="0" fillId="8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164" fontId="9" fillId="7" borderId="2" applyAlignment="1" pivotButton="0" quotePrefix="0" xfId="0">
      <alignment horizontal="center" vertical="center" wrapText="1"/>
    </xf>
    <xf numFmtId="0" fontId="0" fillId="13" borderId="2" applyAlignment="1" pivotButton="0" quotePrefix="0" xfId="0">
      <alignment horizontal="center" vertical="center" wrapText="1"/>
    </xf>
    <xf numFmtId="164" fontId="0" fillId="13" borderId="2" applyAlignment="1" pivotButton="0" quotePrefix="0" xfId="0">
      <alignment horizontal="center" vertical="center" wrapText="1"/>
    </xf>
    <xf numFmtId="0" fontId="0" fillId="14" borderId="2" applyAlignment="1" pivotButton="0" quotePrefix="0" xfId="0">
      <alignment horizontal="center" vertical="center" wrapText="1"/>
    </xf>
    <xf numFmtId="164" fontId="0" fillId="14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164" fontId="10" fillId="8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2" customWidth="1" min="3" max="3"/>
    <col width="3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4" customWidth="1" min="10" max="10"/>
    <col width="14" customWidth="1" min="11" max="11"/>
    <col width="16" customWidth="1" min="12" max="12"/>
  </cols>
  <sheetData>
    <row r="1" ht="18" customHeight="1">
      <c r="A1" s="1" t="inlineStr">
        <is>
          <t>🎯  DESAFIO €10 → €1.000  |  Estratégia 18 Steps @ 1.40  |  Betclic</t>
        </is>
      </c>
    </row>
    <row r="2" ht="32" customHeight="1">
      <c r="A2" s="2" t="inlineStr">
        <is>
          <t>Step</t>
        </is>
      </c>
      <c r="B2" s="2" t="inlineStr">
        <is>
          <t>Data</t>
        </is>
      </c>
      <c r="C2" s="2" t="inlineStr">
        <is>
          <t>Jogo / Evento</t>
        </is>
      </c>
      <c r="D2" s="2" t="inlineStr">
        <is>
          <t>Mercado / Seleção</t>
        </is>
      </c>
      <c r="E2" s="2" t="inlineStr">
        <is>
          <t>Odd</t>
        </is>
      </c>
      <c r="F2" s="2" t="inlineStr">
        <is>
          <t>Stake (€)</t>
        </is>
      </c>
      <c r="G2" s="2" t="inlineStr">
        <is>
          <t>Resultado
(G/P/D)</t>
        </is>
      </c>
      <c r="H2" s="2" t="inlineStr">
        <is>
          <t>Retorno
Bruto (€)</t>
        </is>
      </c>
      <c r="I2" s="2" t="inlineStr">
        <is>
          <t>% Banco</t>
        </is>
      </c>
      <c r="J2" s="2" t="inlineStr">
        <is>
          <t>→ Banco (€)</t>
        </is>
      </c>
      <c r="K2" s="2" t="inlineStr">
        <is>
          <t>Banco
Acumulado (€)</t>
        </is>
      </c>
      <c r="L2" s="2" t="inlineStr">
        <is>
          <t>Notas</t>
        </is>
      </c>
    </row>
    <row r="3" ht="22" customHeight="1">
      <c r="A3" s="3" t="n">
        <v>1</v>
      </c>
      <c r="B3" s="4" t="inlineStr">
        <is>
          <t>30/06/2026</t>
        </is>
      </c>
      <c r="C3" s="4" t="inlineStr">
        <is>
          <t>Costa do Marfim vs Noruega</t>
        </is>
      </c>
      <c r="D3" s="5" t="inlineStr">
        <is>
          <t>Resultado sem empate — Noruega</t>
        </is>
      </c>
      <c r="E3" s="6" t="n">
        <v>1.45</v>
      </c>
      <c r="F3" s="6" t="n">
        <v>10</v>
      </c>
      <c r="G3" s="7" t="inlineStr">
        <is>
          <t>G</t>
        </is>
      </c>
      <c r="H3" s="6">
        <f>F3*E3</f>
        <v/>
      </c>
      <c r="I3" s="8" t="n">
        <v>0.135</v>
      </c>
      <c r="J3" s="6">
        <f>H3*I3</f>
        <v/>
      </c>
      <c r="K3" s="6">
        <f>J3</f>
        <v/>
      </c>
      <c r="L3" s="4" t="inlineStr">
        <is>
          <t>Step 1 ✅ CP Fase 1</t>
        </is>
      </c>
    </row>
    <row r="4" ht="22" customHeight="1">
      <c r="A4" s="3" t="n">
        <v>2</v>
      </c>
      <c r="B4" s="9" t="inlineStr"/>
      <c r="C4" s="9" t="inlineStr"/>
      <c r="D4" s="10" t="inlineStr"/>
      <c r="E4" s="11" t="n">
        <v>1.4</v>
      </c>
      <c r="F4" s="11">
        <f>H3-J3</f>
        <v/>
      </c>
      <c r="G4" s="12" t="inlineStr"/>
      <c r="H4" s="11">
        <f>F4*E4</f>
        <v/>
      </c>
      <c r="I4" s="13" t="n">
        <v>0.135</v>
      </c>
      <c r="J4" s="11">
        <f>H4*I4</f>
        <v/>
      </c>
      <c r="K4" s="11">
        <f>K3+J4</f>
        <v/>
      </c>
      <c r="L4" s="9" t="inlineStr"/>
    </row>
    <row r="5" ht="22" customHeight="1">
      <c r="A5" s="3" t="n">
        <v>3</v>
      </c>
      <c r="B5" s="4" t="inlineStr"/>
      <c r="C5" s="4" t="inlineStr"/>
      <c r="D5" s="5" t="inlineStr"/>
      <c r="E5" s="6" t="n">
        <v>1.4</v>
      </c>
      <c r="F5" s="6">
        <f>H4-J4</f>
        <v/>
      </c>
      <c r="G5" s="7" t="inlineStr"/>
      <c r="H5" s="6">
        <f>F5*E5</f>
        <v/>
      </c>
      <c r="I5" s="8" t="n">
        <v>0.135</v>
      </c>
      <c r="J5" s="6">
        <f>H5*I5</f>
        <v/>
      </c>
      <c r="K5" s="6">
        <f>K4+J5</f>
        <v/>
      </c>
      <c r="L5" s="4" t="inlineStr"/>
    </row>
    <row r="6" ht="22" customHeight="1">
      <c r="A6" s="3" t="n">
        <v>4</v>
      </c>
      <c r="B6" s="9" t="inlineStr"/>
      <c r="C6" s="9" t="inlineStr"/>
      <c r="D6" s="10" t="inlineStr"/>
      <c r="E6" s="11" t="n">
        <v>1.4</v>
      </c>
      <c r="F6" s="11">
        <f>H5-J5</f>
        <v/>
      </c>
      <c r="G6" s="12" t="inlineStr"/>
      <c r="H6" s="11">
        <f>F6*E6</f>
        <v/>
      </c>
      <c r="I6" s="13" t="n">
        <v>0.135</v>
      </c>
      <c r="J6" s="11">
        <f>H6*I6</f>
        <v/>
      </c>
      <c r="K6" s="11">
        <f>K5+J6</f>
        <v/>
      </c>
      <c r="L6" s="9" t="inlineStr">
        <is>
          <t>🏦 Recuperar €10 iniciais</t>
        </is>
      </c>
    </row>
    <row r="7" ht="22" customHeight="1">
      <c r="A7" s="3" t="n">
        <v>5</v>
      </c>
      <c r="B7" s="4" t="inlineStr"/>
      <c r="C7" s="4" t="inlineStr"/>
      <c r="D7" s="5" t="inlineStr"/>
      <c r="E7" s="6" t="n">
        <v>1.4</v>
      </c>
      <c r="F7" s="6">
        <f>H6-J6</f>
        <v/>
      </c>
      <c r="G7" s="7" t="inlineStr"/>
      <c r="H7" s="6">
        <f>F7*E7</f>
        <v/>
      </c>
      <c r="I7" s="8" t="n">
        <v>0</v>
      </c>
      <c r="J7" s="6">
        <f>H7*I7</f>
        <v/>
      </c>
      <c r="K7" s="6">
        <f>K6+J7</f>
        <v/>
      </c>
      <c r="L7" s="4" t="inlineStr">
        <is>
          <t>Reinvestir 100%</t>
        </is>
      </c>
    </row>
    <row r="8" ht="22" customHeight="1">
      <c r="A8" s="3" t="n">
        <v>6</v>
      </c>
      <c r="B8" s="9" t="inlineStr"/>
      <c r="C8" s="9" t="inlineStr"/>
      <c r="D8" s="10" t="inlineStr"/>
      <c r="E8" s="11" t="n">
        <v>1.4</v>
      </c>
      <c r="F8" s="11">
        <f>H7-J7</f>
        <v/>
      </c>
      <c r="G8" s="12" t="inlineStr"/>
      <c r="H8" s="11">
        <f>F8*E8</f>
        <v/>
      </c>
      <c r="I8" s="13" t="n">
        <v>0</v>
      </c>
      <c r="J8" s="11">
        <f>H8*I8</f>
        <v/>
      </c>
      <c r="K8" s="11">
        <f>K7+J8</f>
        <v/>
      </c>
      <c r="L8" s="9" t="inlineStr">
        <is>
          <t>Reinvestir 100%</t>
        </is>
      </c>
    </row>
    <row r="9" ht="22" customHeight="1">
      <c r="A9" s="3" t="n">
        <v>7</v>
      </c>
      <c r="B9" s="4" t="inlineStr"/>
      <c r="C9" s="4" t="inlineStr"/>
      <c r="D9" s="5" t="inlineStr"/>
      <c r="E9" s="6" t="n">
        <v>1.4</v>
      </c>
      <c r="F9" s="6">
        <f>H8-J8</f>
        <v/>
      </c>
      <c r="G9" s="7" t="inlineStr"/>
      <c r="H9" s="6">
        <f>F9*E9</f>
        <v/>
      </c>
      <c r="I9" s="8" t="n">
        <v>0</v>
      </c>
      <c r="J9" s="6">
        <f>H9*I9</f>
        <v/>
      </c>
      <c r="K9" s="6">
        <f>K8+J9</f>
        <v/>
      </c>
      <c r="L9" s="4" t="inlineStr">
        <is>
          <t>Reinvestir 100%</t>
        </is>
      </c>
    </row>
    <row r="10" ht="22" customHeight="1">
      <c r="A10" s="3" t="n">
        <v>8</v>
      </c>
      <c r="B10" s="9" t="inlineStr"/>
      <c r="C10" s="9" t="inlineStr"/>
      <c r="D10" s="10" t="inlineStr"/>
      <c r="E10" s="11" t="n">
        <v>1.4</v>
      </c>
      <c r="F10" s="11">
        <f>H9-J9</f>
        <v/>
      </c>
      <c r="G10" s="12" t="inlineStr"/>
      <c r="H10" s="11">
        <f>F10*E10</f>
        <v/>
      </c>
      <c r="I10" s="13" t="n">
        <v>0</v>
      </c>
      <c r="J10" s="11">
        <f>H10*I10</f>
        <v/>
      </c>
      <c r="K10" s="11">
        <f>K9+J10</f>
        <v/>
      </c>
      <c r="L10" s="9" t="inlineStr">
        <is>
          <t>Reinvestir 100%</t>
        </is>
      </c>
    </row>
    <row r="11" ht="22" customHeight="1">
      <c r="A11" s="14" t="n">
        <v>9</v>
      </c>
      <c r="B11" s="14" t="inlineStr"/>
      <c r="C11" s="14" t="inlineStr"/>
      <c r="D11" s="15" t="inlineStr"/>
      <c r="E11" s="16" t="n">
        <v>1.4</v>
      </c>
      <c r="F11" s="16">
        <f>H10-J10</f>
        <v/>
      </c>
      <c r="G11" s="17" t="inlineStr"/>
      <c r="H11" s="16">
        <f>F11*E11</f>
        <v/>
      </c>
      <c r="I11" s="18" t="n">
        <v>0</v>
      </c>
      <c r="J11" s="16">
        <f>H11*I11</f>
        <v/>
      </c>
      <c r="K11" s="16">
        <f>K10+J11</f>
        <v/>
      </c>
      <c r="L11" s="14" t="inlineStr">
        <is>
          <t>🔴 CP1 — Sacar €50 → Banco = €60</t>
        </is>
      </c>
    </row>
    <row r="12" ht="22" customHeight="1">
      <c r="A12" s="3" t="n">
        <v>10</v>
      </c>
      <c r="B12" s="9" t="inlineStr"/>
      <c r="C12" s="9" t="inlineStr"/>
      <c r="D12" s="10" t="inlineStr"/>
      <c r="E12" s="11" t="n">
        <v>1.4</v>
      </c>
      <c r="F12" s="11">
        <f>H11-J11-50</f>
        <v/>
      </c>
      <c r="G12" s="12" t="inlineStr"/>
      <c r="H12" s="11">
        <f>F12*E12</f>
        <v/>
      </c>
      <c r="I12" s="13" t="n">
        <v>0</v>
      </c>
      <c r="J12" s="11">
        <f>H12*I12</f>
        <v/>
      </c>
      <c r="K12" s="11">
        <f>K11+J12+50</f>
        <v/>
      </c>
      <c r="L12" s="9" t="inlineStr">
        <is>
          <t>Pós CP1: sacar €50</t>
        </is>
      </c>
    </row>
    <row r="13" ht="22" customHeight="1">
      <c r="A13" s="3" t="n">
        <v>11</v>
      </c>
      <c r="B13" s="4" t="inlineStr"/>
      <c r="C13" s="4" t="inlineStr"/>
      <c r="D13" s="5" t="inlineStr"/>
      <c r="E13" s="6" t="n">
        <v>1.4</v>
      </c>
      <c r="F13" s="6">
        <f>H12-J12</f>
        <v/>
      </c>
      <c r="G13" s="7" t="inlineStr"/>
      <c r="H13" s="6">
        <f>F13*E13</f>
        <v/>
      </c>
      <c r="I13" s="8" t="n">
        <v>0</v>
      </c>
      <c r="J13" s="6">
        <f>H13*I13</f>
        <v/>
      </c>
      <c r="K13" s="6">
        <f>K12+J13</f>
        <v/>
      </c>
      <c r="L13" s="4" t="inlineStr">
        <is>
          <t>Reinvestir 100%</t>
        </is>
      </c>
    </row>
    <row r="14" ht="22" customHeight="1">
      <c r="A14" s="3" t="n">
        <v>12</v>
      </c>
      <c r="B14" s="9" t="inlineStr"/>
      <c r="C14" s="9" t="inlineStr"/>
      <c r="D14" s="10" t="inlineStr"/>
      <c r="E14" s="11" t="n">
        <v>1.4</v>
      </c>
      <c r="F14" s="11">
        <f>H13-J13</f>
        <v/>
      </c>
      <c r="G14" s="12" t="inlineStr"/>
      <c r="H14" s="11">
        <f>F14*E14</f>
        <v/>
      </c>
      <c r="I14" s="13" t="n">
        <v>0</v>
      </c>
      <c r="J14" s="11">
        <f>H14*I14</f>
        <v/>
      </c>
      <c r="K14" s="11">
        <f>K13+J14</f>
        <v/>
      </c>
      <c r="L14" s="9" t="inlineStr">
        <is>
          <t>Reinvestir 100%</t>
        </is>
      </c>
    </row>
    <row r="15" ht="22" customHeight="1">
      <c r="A15" s="3" t="n">
        <v>13</v>
      </c>
      <c r="B15" s="4" t="inlineStr"/>
      <c r="C15" s="4" t="inlineStr"/>
      <c r="D15" s="5" t="inlineStr"/>
      <c r="E15" s="6" t="n">
        <v>1.4</v>
      </c>
      <c r="F15" s="6">
        <f>H14-J14</f>
        <v/>
      </c>
      <c r="G15" s="7" t="inlineStr"/>
      <c r="H15" s="6">
        <f>F15*E15</f>
        <v/>
      </c>
      <c r="I15" s="8" t="n">
        <v>0</v>
      </c>
      <c r="J15" s="6">
        <f>H15*I15</f>
        <v/>
      </c>
      <c r="K15" s="6">
        <f>K14+J15</f>
        <v/>
      </c>
      <c r="L15" s="4" t="inlineStr">
        <is>
          <t>Reinvestir 100%</t>
        </is>
      </c>
    </row>
    <row r="16" ht="22" customHeight="1">
      <c r="A16" s="3" t="n">
        <v>14</v>
      </c>
      <c r="B16" s="9" t="inlineStr"/>
      <c r="C16" s="9" t="inlineStr"/>
      <c r="D16" s="10" t="inlineStr"/>
      <c r="E16" s="11" t="n">
        <v>1.4</v>
      </c>
      <c r="F16" s="11">
        <f>H15-J15</f>
        <v/>
      </c>
      <c r="G16" s="12" t="inlineStr"/>
      <c r="H16" s="11">
        <f>F16*E16</f>
        <v/>
      </c>
      <c r="I16" s="13" t="n">
        <v>0</v>
      </c>
      <c r="J16" s="11">
        <f>H16*I16</f>
        <v/>
      </c>
      <c r="K16" s="11">
        <f>K15+J16</f>
        <v/>
      </c>
      <c r="L16" s="9" t="inlineStr">
        <is>
          <t>Reinvestir 100%</t>
        </is>
      </c>
    </row>
    <row r="17" ht="22" customHeight="1">
      <c r="A17" s="3" t="n">
        <v>15</v>
      </c>
      <c r="B17" s="4" t="inlineStr"/>
      <c r="C17" s="4" t="inlineStr"/>
      <c r="D17" s="5" t="inlineStr"/>
      <c r="E17" s="6" t="n">
        <v>1.4</v>
      </c>
      <c r="F17" s="6">
        <f>H16-J16</f>
        <v/>
      </c>
      <c r="G17" s="7" t="inlineStr"/>
      <c r="H17" s="6">
        <f>F17*E17</f>
        <v/>
      </c>
      <c r="I17" s="8" t="n">
        <v>0</v>
      </c>
      <c r="J17" s="6">
        <f>H17*I17</f>
        <v/>
      </c>
      <c r="K17" s="6">
        <f>K16+J17</f>
        <v/>
      </c>
      <c r="L17" s="4" t="inlineStr">
        <is>
          <t>Reinvestir 100%</t>
        </is>
      </c>
    </row>
    <row r="18" ht="22" customHeight="1">
      <c r="A18" s="14" t="n">
        <v>16</v>
      </c>
      <c r="B18" s="14" t="inlineStr"/>
      <c r="C18" s="14" t="inlineStr"/>
      <c r="D18" s="15" t="inlineStr"/>
      <c r="E18" s="16" t="n">
        <v>1.4</v>
      </c>
      <c r="F18" s="16">
        <f>H17-J17</f>
        <v/>
      </c>
      <c r="G18" s="17" t="inlineStr"/>
      <c r="H18" s="16">
        <f>F18*E18</f>
        <v/>
      </c>
      <c r="I18" s="18" t="n">
        <v>0</v>
      </c>
      <c r="J18" s="16">
        <f>H18*I18</f>
        <v/>
      </c>
      <c r="K18" s="16">
        <f>K17+J18</f>
        <v/>
      </c>
      <c r="L18" s="14" t="inlineStr">
        <is>
          <t>🔴 CP2 — Sacar €433 → Banco = €493</t>
        </is>
      </c>
    </row>
    <row r="19" ht="22" customHeight="1">
      <c r="A19" s="3" t="n">
        <v>17</v>
      </c>
      <c r="B19" s="4" t="inlineStr"/>
      <c r="C19" s="4" t="inlineStr"/>
      <c r="D19" s="5" t="inlineStr"/>
      <c r="E19" s="6" t="n">
        <v>1.4</v>
      </c>
      <c r="F19" s="6">
        <f>H18-J18-433</f>
        <v/>
      </c>
      <c r="G19" s="7" t="inlineStr"/>
      <c r="H19" s="6">
        <f>F19*E19</f>
        <v/>
      </c>
      <c r="I19" s="8" t="n">
        <v>0</v>
      </c>
      <c r="J19" s="6">
        <f>H19*I19</f>
        <v/>
      </c>
      <c r="K19" s="6">
        <f>K18+J19+433</f>
        <v/>
      </c>
      <c r="L19" s="4" t="inlineStr">
        <is>
          <t>Pós CP2: sacar €433</t>
        </is>
      </c>
    </row>
    <row r="20" ht="22" customHeight="1">
      <c r="A20" s="19" t="n">
        <v>18</v>
      </c>
      <c r="B20" s="19" t="inlineStr"/>
      <c r="C20" s="19" t="inlineStr"/>
      <c r="D20" s="20" t="inlineStr"/>
      <c r="E20" s="21" t="n">
        <v>1.4</v>
      </c>
      <c r="F20" s="21">
        <f>H19-J19</f>
        <v/>
      </c>
      <c r="G20" s="22" t="inlineStr"/>
      <c r="H20" s="21">
        <f>F20*E20</f>
        <v/>
      </c>
      <c r="I20" s="23" t="n">
        <v>0</v>
      </c>
      <c r="J20" s="21">
        <f>H20*I20</f>
        <v/>
      </c>
      <c r="K20" s="21">
        <f>K19+J20</f>
        <v/>
      </c>
      <c r="L20" s="19" t="inlineStr">
        <is>
          <t>🎯 OBJETIVO: €1.000</t>
        </is>
      </c>
    </row>
    <row r="21" ht="25" customHeight="1">
      <c r="A21" s="2" t="inlineStr">
        <is>
          <t>TOTAL</t>
        </is>
      </c>
      <c r="B21" s="2" t="n"/>
      <c r="C21" s="2" t="n"/>
      <c r="D21" s="2" t="n"/>
      <c r="E21" s="2" t="n"/>
      <c r="F21" s="24">
        <f>SUM(F3:F20)</f>
        <v/>
      </c>
      <c r="G21" s="2" t="n"/>
      <c r="H21" s="24">
        <f>SUM(H3:H20)</f>
        <v/>
      </c>
      <c r="I21" s="2" t="n"/>
      <c r="J21" s="24">
        <f>SUM(J3:J20)</f>
        <v/>
      </c>
      <c r="K21" s="24">
        <f>MAX(K3:K20)</f>
        <v/>
      </c>
      <c r="L21" s="2" t="n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3" customWidth="1" min="6" max="6"/>
  </cols>
  <sheetData>
    <row r="1" ht="35" customHeight="1">
      <c r="B1" s="25" t="inlineStr">
        <is>
          <t>📈  DASHBOARD — Desafio €10 → €1.000</t>
        </is>
      </c>
    </row>
    <row r="3" ht="18" customHeight="1">
      <c r="B3" s="26" t="inlineStr">
        <is>
          <t>Step Atual</t>
        </is>
      </c>
      <c r="C3" s="27" t="n"/>
      <c r="D3" s="27" t="n"/>
      <c r="E3" s="27" t="n"/>
    </row>
    <row r="4" ht="28" customHeight="1">
      <c r="B4" s="28">
        <f>COUNTA('📊 Tracker'!A3:A20)</f>
        <v/>
      </c>
      <c r="C4" s="27" t="n"/>
      <c r="D4" s="27" t="n"/>
      <c r="E4" s="27" t="n"/>
    </row>
    <row r="5" ht="18" customHeight="1">
      <c r="B5" s="26" t="inlineStr">
        <is>
          <t>Steps Restantes</t>
        </is>
      </c>
      <c r="C5" s="27" t="n"/>
      <c r="D5" s="27" t="n"/>
      <c r="E5" s="27" t="n"/>
    </row>
    <row r="6" ht="28" customHeight="1">
      <c r="B6" s="28">
        <f>18-COUNTA('📊 Tracker'!A3:A20)</f>
        <v/>
      </c>
      <c r="C6" s="27" t="n"/>
      <c r="D6" s="27" t="n"/>
      <c r="E6" s="27" t="n"/>
    </row>
    <row r="7" ht="18" customHeight="1">
      <c r="B7" s="29" t="inlineStr">
        <is>
          <t>Stake Actual (€)</t>
        </is>
      </c>
      <c r="C7" s="27" t="n"/>
      <c r="D7" s="27" t="n"/>
      <c r="E7" s="27" t="n"/>
    </row>
    <row r="8" ht="28" customHeight="1">
      <c r="B8" s="30">
        <f>IFERROR(INDEX('📊 Tracker'!F3:F20,COUNTA('📊 Tracker'!A3:A20)),10)</f>
        <v/>
      </c>
      <c r="C8" s="27" t="n"/>
      <c r="D8" s="27" t="n"/>
      <c r="E8" s="27" t="n"/>
    </row>
    <row r="9" ht="18" customHeight="1">
      <c r="B9" s="31" t="inlineStr">
        <is>
          <t>Banco Acumulado (€)</t>
        </is>
      </c>
      <c r="C9" s="27" t="n"/>
      <c r="D9" s="27" t="n"/>
      <c r="E9" s="27" t="n"/>
    </row>
    <row r="10" ht="28" customHeight="1">
      <c r="B10" s="30">
        <f>IFERROR(INDEX('📊 Tracker'!K3:K20,COUNTA('📊 Tracker'!A3:A20)),0)</f>
        <v/>
      </c>
      <c r="C10" s="27" t="n"/>
      <c r="D10" s="27" t="n"/>
      <c r="E10" s="27" t="n"/>
    </row>
    <row r="11" ht="18" customHeight="1">
      <c r="B11" s="29" t="inlineStr">
        <is>
          <t>Retorno Total (€)</t>
        </is>
      </c>
      <c r="C11" s="27" t="n"/>
      <c r="D11" s="27" t="n"/>
      <c r="E11" s="27" t="n"/>
    </row>
    <row r="12" ht="28" customHeight="1">
      <c r="B12" s="30">
        <f>SUM('📊 Tracker'!H3:H20)</f>
        <v/>
      </c>
      <c r="C12" s="27" t="n"/>
      <c r="D12" s="27" t="n"/>
      <c r="E12" s="27" t="n"/>
    </row>
    <row r="13" ht="18" customHeight="1">
      <c r="B13" s="29" t="inlineStr">
        <is>
          <t>Apostas Ganhas</t>
        </is>
      </c>
      <c r="C13" s="27" t="n"/>
      <c r="D13" s="27" t="n"/>
      <c r="E13" s="27" t="n"/>
    </row>
    <row r="14" ht="28" customHeight="1">
      <c r="B14" s="28">
        <f>COUNTIF('📊 Tracker'!G3:G20,"G")</f>
        <v/>
      </c>
      <c r="C14" s="27" t="n"/>
      <c r="D14" s="27" t="n"/>
      <c r="E14" s="27" t="n"/>
    </row>
    <row r="15" ht="18" customHeight="1">
      <c r="B15" s="32" t="inlineStr">
        <is>
          <t>Apostas Perdidas</t>
        </is>
      </c>
      <c r="C15" s="27" t="n"/>
      <c r="D15" s="27" t="n"/>
      <c r="E15" s="27" t="n"/>
    </row>
    <row r="16" ht="28" customHeight="1">
      <c r="B16" s="28">
        <f>COUNTIF('📊 Tracker'!G3:G20,"P")</f>
        <v/>
      </c>
      <c r="C16" s="27" t="n"/>
      <c r="D16" s="27" t="n"/>
      <c r="E16" s="27" t="n"/>
    </row>
    <row r="17" ht="18" customHeight="1">
      <c r="B17" s="33" t="inlineStr">
        <is>
          <t>Taxa de Sucesso</t>
        </is>
      </c>
      <c r="C17" s="27" t="n"/>
      <c r="D17" s="27" t="n"/>
      <c r="E17" s="27" t="n"/>
    </row>
    <row r="18" ht="28" customHeight="1">
      <c r="B18" s="34">
        <f>IFERROR(COUNTIF('📊 Tracker'!G3:G20,"G")/COUNTA('📊 Tracker'!G3:G20),0)</f>
        <v/>
      </c>
      <c r="C18" s="27" t="n"/>
      <c r="D18" s="27" t="n"/>
      <c r="E18" s="27" t="n"/>
    </row>
    <row r="19" ht="18" customHeight="1">
      <c r="B19" s="35" t="inlineStr">
        <is>
          <t>Objetivo</t>
        </is>
      </c>
      <c r="C19" s="27" t="n"/>
      <c r="D19" s="27" t="n"/>
      <c r="E19" s="27" t="n"/>
    </row>
    <row r="20" ht="28" customHeight="1">
      <c r="B20" s="30" t="n">
        <v>1000</v>
      </c>
      <c r="C20" s="27" t="n"/>
      <c r="D20" s="27" t="n"/>
      <c r="E20" s="27" t="n"/>
    </row>
    <row r="21" ht="18" customHeight="1">
      <c r="B21" s="31" t="inlineStr">
        <is>
          <t>Progresso</t>
        </is>
      </c>
      <c r="C21" s="27" t="n"/>
      <c r="D21" s="27" t="n"/>
      <c r="E21" s="27" t="n"/>
    </row>
    <row r="22" ht="28" customHeight="1">
      <c r="B22" s="34">
        <f>IFERROR(INDEX('📊 Tracker'!K3:K20,COUNTA('📊 Tracker'!A3:A20))/1000,0)</f>
        <v/>
      </c>
      <c r="C22" s="27" t="n"/>
      <c r="D22" s="27" t="n"/>
      <c r="E22" s="27" t="n"/>
    </row>
  </sheetData>
  <mergeCells count="21">
    <mergeCell ref="B9:E9"/>
    <mergeCell ref="B6:E6"/>
    <mergeCell ref="B15:E15"/>
    <mergeCell ref="B5:E5"/>
    <mergeCell ref="B20:E20"/>
    <mergeCell ref="B4:E4"/>
    <mergeCell ref="B16:E16"/>
    <mergeCell ref="B7:E7"/>
    <mergeCell ref="B3:E3"/>
    <mergeCell ref="B22:E22"/>
    <mergeCell ref="B18:E18"/>
    <mergeCell ref="B12:E12"/>
    <mergeCell ref="B21:E21"/>
    <mergeCell ref="B11:E11"/>
    <mergeCell ref="B14:E14"/>
    <mergeCell ref="B17:E17"/>
    <mergeCell ref="B1:E1"/>
    <mergeCell ref="B8:E8"/>
    <mergeCell ref="B13:E13"/>
    <mergeCell ref="B19:E19"/>
    <mergeCell ref="B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6" customWidth="1" min="3" max="3"/>
    <col width="16" customWidth="1" min="4" max="4"/>
    <col width="14" customWidth="1" min="5" max="5"/>
    <col width="14" customWidth="1" min="6" max="6"/>
    <col width="16" customWidth="1" min="7" max="7"/>
    <col width="20" customWidth="1" min="8" max="8"/>
    <col width="3" customWidth="1" min="9" max="9"/>
  </cols>
  <sheetData>
    <row r="1" ht="30" customHeight="1">
      <c r="B1" s="1" t="inlineStr">
        <is>
          <t>🗺️  MAPA COMPLETO DA ESTRATÉGIA — 18 Steps</t>
        </is>
      </c>
    </row>
    <row r="2" ht="22" customHeight="1">
      <c r="B2" s="2" t="inlineStr">
        <is>
          <t>Step</t>
        </is>
      </c>
      <c r="C2" s="2" t="inlineStr">
        <is>
          <t>Fase</t>
        </is>
      </c>
      <c r="D2" s="2" t="inlineStr">
        <is>
          <t>Stake (€)</t>
        </is>
      </c>
      <c r="E2" s="2" t="inlineStr">
        <is>
          <t>Odd</t>
        </is>
      </c>
      <c r="F2" s="2" t="inlineStr">
        <is>
          <t>Retorno (€)</t>
        </is>
      </c>
      <c r="G2" s="2" t="inlineStr">
        <is>
          <t>% Guardar</t>
        </is>
      </c>
      <c r="H2" s="2" t="inlineStr">
        <is>
          <t>→ Banco (€)</t>
        </is>
      </c>
      <c r="I2" s="2" t="inlineStr">
        <is>
          <t>Notas</t>
        </is>
      </c>
    </row>
    <row r="3" ht="22" customHeight="1">
      <c r="B3" s="3" t="n">
        <v>1</v>
      </c>
      <c r="C3" s="36" t="inlineStr">
        <is>
          <t>Recuperação</t>
        </is>
      </c>
      <c r="D3" s="37" t="n">
        <v>10</v>
      </c>
      <c r="E3" s="36" t="n">
        <v>1.45</v>
      </c>
      <c r="F3" s="37" t="n">
        <v>14.5</v>
      </c>
      <c r="G3" s="37" t="inlineStr">
        <is>
          <t>13.5%</t>
        </is>
      </c>
      <c r="H3" s="36" t="n">
        <v>1.96</v>
      </c>
      <c r="I3" s="36" t="inlineStr">
        <is>
          <t>Start 🚀</t>
        </is>
      </c>
    </row>
    <row r="4" ht="22" customHeight="1">
      <c r="B4" s="3" t="n">
        <v>2</v>
      </c>
      <c r="C4" s="36" t="inlineStr">
        <is>
          <t>Recuperação</t>
        </is>
      </c>
      <c r="D4" s="37" t="n">
        <v>12.54</v>
      </c>
      <c r="E4" s="36" t="n">
        <v>1.4</v>
      </c>
      <c r="F4" s="37" t="n">
        <v>17.56</v>
      </c>
      <c r="G4" s="37" t="inlineStr">
        <is>
          <t>13.5%</t>
        </is>
      </c>
      <c r="H4" s="36" t="n">
        <v>2.37</v>
      </c>
      <c r="I4" s="36" t="inlineStr"/>
    </row>
    <row r="5" ht="22" customHeight="1">
      <c r="B5" s="3" t="n">
        <v>3</v>
      </c>
      <c r="C5" s="36" t="inlineStr">
        <is>
          <t>Recuperação</t>
        </is>
      </c>
      <c r="D5" s="37" t="n">
        <v>15.19</v>
      </c>
      <c r="E5" s="36" t="n">
        <v>1.4</v>
      </c>
      <c r="F5" s="37" t="n">
        <v>21.27</v>
      </c>
      <c r="G5" s="37" t="inlineStr">
        <is>
          <t>13.5%</t>
        </is>
      </c>
      <c r="H5" s="36" t="n">
        <v>2.87</v>
      </c>
      <c r="I5" s="36" t="inlineStr"/>
    </row>
    <row r="6" ht="22" customHeight="1">
      <c r="B6" s="3" t="n">
        <v>4</v>
      </c>
      <c r="C6" s="36" t="inlineStr">
        <is>
          <t>Recuperação</t>
        </is>
      </c>
      <c r="D6" s="37" t="n">
        <v>18.4</v>
      </c>
      <c r="E6" s="36" t="n">
        <v>1.4</v>
      </c>
      <c r="F6" s="37" t="n">
        <v>25.76</v>
      </c>
      <c r="G6" s="37" t="inlineStr">
        <is>
          <t>13.5%</t>
        </is>
      </c>
      <c r="H6" s="36" t="n">
        <v>3.48</v>
      </c>
      <c r="I6" s="36" t="inlineStr">
        <is>
          <t>🏦 €10 recuperados</t>
        </is>
      </c>
    </row>
    <row r="7" ht="22" customHeight="1">
      <c r="B7" s="3" t="n">
        <v>5</v>
      </c>
      <c r="C7" s="38" t="inlineStr">
        <is>
          <t>Acumulação 1</t>
        </is>
      </c>
      <c r="D7" s="39" t="n">
        <v>22.28</v>
      </c>
      <c r="E7" s="38" t="n">
        <v>1.4</v>
      </c>
      <c r="F7" s="39" t="n">
        <v>31.19</v>
      </c>
      <c r="G7" s="39" t="inlineStr">
        <is>
          <t>0%</t>
        </is>
      </c>
      <c r="H7" s="38" t="n">
        <v>0</v>
      </c>
      <c r="I7" s="38" t="inlineStr"/>
    </row>
    <row r="8" ht="22" customHeight="1">
      <c r="B8" s="3" t="n">
        <v>6</v>
      </c>
      <c r="C8" s="38" t="inlineStr">
        <is>
          <t>Acumulação 1</t>
        </is>
      </c>
      <c r="D8" s="39" t="n">
        <v>31.19</v>
      </c>
      <c r="E8" s="38" t="n">
        <v>1.4</v>
      </c>
      <c r="F8" s="39" t="n">
        <v>43.67</v>
      </c>
      <c r="G8" s="39" t="inlineStr">
        <is>
          <t>0%</t>
        </is>
      </c>
      <c r="H8" s="38" t="n">
        <v>0</v>
      </c>
      <c r="I8" s="38" t="inlineStr"/>
    </row>
    <row r="9" ht="22" customHeight="1">
      <c r="B9" s="3" t="n">
        <v>7</v>
      </c>
      <c r="C9" s="38" t="inlineStr">
        <is>
          <t>Acumulação 1</t>
        </is>
      </c>
      <c r="D9" s="39" t="n">
        <v>43.67</v>
      </c>
      <c r="E9" s="38" t="n">
        <v>1.4</v>
      </c>
      <c r="F9" s="39" t="n">
        <v>61.13</v>
      </c>
      <c r="G9" s="39" t="inlineStr">
        <is>
          <t>0%</t>
        </is>
      </c>
      <c r="H9" s="38" t="n">
        <v>0</v>
      </c>
      <c r="I9" s="38" t="inlineStr"/>
    </row>
    <row r="10" ht="22" customHeight="1">
      <c r="B10" s="3" t="n">
        <v>8</v>
      </c>
      <c r="C10" s="38" t="inlineStr">
        <is>
          <t>Acumulação 1</t>
        </is>
      </c>
      <c r="D10" s="39" t="n">
        <v>61.13</v>
      </c>
      <c r="E10" s="38" t="n">
        <v>1.4</v>
      </c>
      <c r="F10" s="39" t="n">
        <v>85.59</v>
      </c>
      <c r="G10" s="39" t="inlineStr">
        <is>
          <t>0%</t>
        </is>
      </c>
      <c r="H10" s="38" t="n">
        <v>0</v>
      </c>
      <c r="I10" s="38" t="inlineStr"/>
    </row>
    <row r="11" ht="22" customHeight="1">
      <c r="B11" s="40" t="n">
        <v>9</v>
      </c>
      <c r="C11" s="40" t="inlineStr">
        <is>
          <t>Acumulação 1</t>
        </is>
      </c>
      <c r="D11" s="41" t="n">
        <v>85.59</v>
      </c>
      <c r="E11" s="40" t="n">
        <v>1.4</v>
      </c>
      <c r="F11" s="41" t="n">
        <v>119.82</v>
      </c>
      <c r="G11" s="41" t="inlineStr">
        <is>
          <t>0%</t>
        </is>
      </c>
      <c r="H11" s="40" t="n">
        <v>50</v>
      </c>
      <c r="I11" s="40" t="inlineStr">
        <is>
          <t>🔴 CP1 — Sacar €50</t>
        </is>
      </c>
    </row>
    <row r="12" ht="22" customHeight="1">
      <c r="B12" s="3" t="n">
        <v>10</v>
      </c>
      <c r="C12" s="42" t="inlineStr">
        <is>
          <t>Acumulação 2</t>
        </is>
      </c>
      <c r="D12" s="43" t="n">
        <v>69.81999999999999</v>
      </c>
      <c r="E12" s="42" t="n">
        <v>1.4</v>
      </c>
      <c r="F12" s="43" t="n">
        <v>97.75</v>
      </c>
      <c r="G12" s="43" t="inlineStr">
        <is>
          <t>0%</t>
        </is>
      </c>
      <c r="H12" s="42" t="n">
        <v>0</v>
      </c>
      <c r="I12" s="42" t="inlineStr">
        <is>
          <t>Pós CP1</t>
        </is>
      </c>
    </row>
    <row r="13" ht="22" customHeight="1">
      <c r="B13" s="3" t="n">
        <v>11</v>
      </c>
      <c r="C13" s="42" t="inlineStr">
        <is>
          <t>Acumulação 2</t>
        </is>
      </c>
      <c r="D13" s="43" t="n">
        <v>97.75</v>
      </c>
      <c r="E13" s="42" t="n">
        <v>1.4</v>
      </c>
      <c r="F13" s="43" t="n">
        <v>136.85</v>
      </c>
      <c r="G13" s="43" t="inlineStr">
        <is>
          <t>0%</t>
        </is>
      </c>
      <c r="H13" s="42" t="n">
        <v>0</v>
      </c>
      <c r="I13" s="42" t="inlineStr"/>
    </row>
    <row r="14" ht="22" customHeight="1">
      <c r="B14" s="3" t="n">
        <v>12</v>
      </c>
      <c r="C14" s="42" t="inlineStr">
        <is>
          <t>Acumulação 2</t>
        </is>
      </c>
      <c r="D14" s="43" t="n">
        <v>136.85</v>
      </c>
      <c r="E14" s="42" t="n">
        <v>1.4</v>
      </c>
      <c r="F14" s="43" t="n">
        <v>191.59</v>
      </c>
      <c r="G14" s="43" t="inlineStr">
        <is>
          <t>0%</t>
        </is>
      </c>
      <c r="H14" s="42" t="n">
        <v>0</v>
      </c>
      <c r="I14" s="42" t="inlineStr"/>
    </row>
    <row r="15" ht="22" customHeight="1">
      <c r="B15" s="3" t="n">
        <v>13</v>
      </c>
      <c r="C15" s="42" t="inlineStr">
        <is>
          <t>Acumulação 2</t>
        </is>
      </c>
      <c r="D15" s="43" t="n">
        <v>191.59</v>
      </c>
      <c r="E15" s="42" t="n">
        <v>1.4</v>
      </c>
      <c r="F15" s="43" t="n">
        <v>268.23</v>
      </c>
      <c r="G15" s="43" t="inlineStr">
        <is>
          <t>0%</t>
        </is>
      </c>
      <c r="H15" s="42" t="n">
        <v>0</v>
      </c>
      <c r="I15" s="42" t="inlineStr"/>
    </row>
    <row r="16" ht="22" customHeight="1">
      <c r="B16" s="3" t="n">
        <v>14</v>
      </c>
      <c r="C16" s="42" t="inlineStr">
        <is>
          <t>Acumulação 2</t>
        </is>
      </c>
      <c r="D16" s="43" t="n">
        <v>268.23</v>
      </c>
      <c r="E16" s="42" t="n">
        <v>1.4</v>
      </c>
      <c r="F16" s="43" t="n">
        <v>375.52</v>
      </c>
      <c r="G16" s="43" t="inlineStr">
        <is>
          <t>0%</t>
        </is>
      </c>
      <c r="H16" s="42" t="n">
        <v>0</v>
      </c>
      <c r="I16" s="42" t="inlineStr"/>
    </row>
    <row r="17" ht="22" customHeight="1">
      <c r="B17" s="3" t="n">
        <v>15</v>
      </c>
      <c r="C17" s="42" t="inlineStr">
        <is>
          <t>Acumulação 2</t>
        </is>
      </c>
      <c r="D17" s="43" t="n">
        <v>375.52</v>
      </c>
      <c r="E17" s="42" t="n">
        <v>1.4</v>
      </c>
      <c r="F17" s="43" t="n">
        <v>525.73</v>
      </c>
      <c r="G17" s="43" t="inlineStr">
        <is>
          <t>0%</t>
        </is>
      </c>
      <c r="H17" s="42" t="n">
        <v>0</v>
      </c>
      <c r="I17" s="42" t="inlineStr"/>
    </row>
    <row r="18" ht="22" customHeight="1">
      <c r="B18" s="40" t="n">
        <v>16</v>
      </c>
      <c r="C18" s="40" t="inlineStr">
        <is>
          <t>Acumulação 2</t>
        </is>
      </c>
      <c r="D18" s="41" t="n">
        <v>525.73</v>
      </c>
      <c r="E18" s="40" t="n">
        <v>1.4</v>
      </c>
      <c r="F18" s="41" t="n">
        <v>736.02</v>
      </c>
      <c r="G18" s="41" t="inlineStr">
        <is>
          <t>0%</t>
        </is>
      </c>
      <c r="H18" s="40" t="n">
        <v>433</v>
      </c>
      <c r="I18" s="40" t="inlineStr">
        <is>
          <t>🔴 CP2 — Sacar €433</t>
        </is>
      </c>
    </row>
    <row r="19" ht="22" customHeight="1">
      <c r="B19" s="3" t="n">
        <v>17</v>
      </c>
      <c r="C19" s="44" t="inlineStr">
        <is>
          <t>Sprint</t>
        </is>
      </c>
      <c r="D19" s="45" t="n">
        <v>303.02</v>
      </c>
      <c r="E19" s="44" t="n">
        <v>1.4</v>
      </c>
      <c r="F19" s="45" t="n">
        <v>424.23</v>
      </c>
      <c r="G19" s="45" t="inlineStr">
        <is>
          <t>0%</t>
        </is>
      </c>
      <c r="H19" s="44" t="n">
        <v>0</v>
      </c>
      <c r="I19" s="44" t="inlineStr">
        <is>
          <t>Pós CP2</t>
        </is>
      </c>
    </row>
    <row r="20" ht="22" customHeight="1">
      <c r="B20" s="46" t="n">
        <v>18</v>
      </c>
      <c r="C20" s="46" t="inlineStr">
        <is>
          <t>Sprint</t>
        </is>
      </c>
      <c r="D20" s="47" t="n">
        <v>424.23</v>
      </c>
      <c r="E20" s="46" t="n">
        <v>1.4</v>
      </c>
      <c r="F20" s="47" t="n">
        <v>593.92</v>
      </c>
      <c r="G20" s="47" t="inlineStr">
        <is>
          <t>0%</t>
        </is>
      </c>
      <c r="H20" s="46" t="n">
        <v>0</v>
      </c>
      <c r="I20" s="46" t="inlineStr">
        <is>
          <t>🎯 Total ≈ €1.000</t>
        </is>
      </c>
    </row>
  </sheetData>
  <mergeCells count="1">
    <mergeCell ref="B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2026-06-30T19:03:42Z</dcterms:created>
  <dcterms:modified xsi:type="dcterms:W3CDTF">2026-06-30T19:03:42Z</dcterms:modified>
</cp:coreProperties>
</file>